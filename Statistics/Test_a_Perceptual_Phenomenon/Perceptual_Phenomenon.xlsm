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8"/>
  <workbookPr/>
  <mc:AlternateContent xmlns:mc="http://schemas.openxmlformats.org/markup-compatibility/2006">
    <mc:Choice Requires="x15">
      <x15ac:absPath xmlns:x15ac="http://schemas.microsoft.com/office/spreadsheetml/2010/11/ac" url="/Users/Nexu/Desktop/Project 1 - Paul Foley/"/>
    </mc:Choice>
  </mc:AlternateContent>
  <bookViews>
    <workbookView xWindow="20" yWindow="460" windowWidth="28800" windowHeight="17460" tabRatio="500"/>
  </bookViews>
  <sheets>
    <sheet name="Project 1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6" i="1" l="1"/>
  <c r="G15" i="1"/>
  <c r="G14" i="1"/>
  <c r="G11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J4" i="1"/>
  <c r="G4" i="1"/>
  <c r="G13" i="1"/>
  <c r="G2" i="1"/>
  <c r="J2" i="1"/>
  <c r="J3" i="1"/>
  <c r="G3" i="1"/>
</calcChain>
</file>

<file path=xl/sharedStrings.xml><?xml version="1.0" encoding="utf-8"?>
<sst xmlns="http://schemas.openxmlformats.org/spreadsheetml/2006/main" count="33" uniqueCount="27">
  <si>
    <t>Congruent</t>
  </si>
  <si>
    <t>Incongruent</t>
  </si>
  <si>
    <t>Time</t>
  </si>
  <si>
    <t>Mean</t>
  </si>
  <si>
    <t>Median</t>
  </si>
  <si>
    <t>Std. Deviation</t>
  </si>
  <si>
    <t>Hyppothesis Test</t>
  </si>
  <si>
    <t>Let's test if there is a significant difference between Congruent Response Times and Incongruent Reponse times.</t>
  </si>
  <si>
    <t>Null</t>
  </si>
  <si>
    <t>Alternative</t>
  </si>
  <si>
    <t>n</t>
  </si>
  <si>
    <t>Degrees of Freedom</t>
  </si>
  <si>
    <t>Standard Error</t>
  </si>
  <si>
    <t>t-statistic</t>
  </si>
  <si>
    <t>t critical 95%</t>
  </si>
  <si>
    <t>t critical 98%</t>
  </si>
  <si>
    <t>t critical 99%</t>
  </si>
  <si>
    <t xml:space="preserve">We can be 99%+ confident that there is a significant difference between Congruent Response Time and Incongruent Response Time. </t>
  </si>
  <si>
    <t>u(C) - u(I)  = 0</t>
  </si>
  <si>
    <t>u(C) - U(I) != 0</t>
  </si>
  <si>
    <t>2.0687,-2.0687</t>
  </si>
  <si>
    <t>2.4999,-2.4999</t>
  </si>
  <si>
    <t>2.8073, -2.8073</t>
  </si>
  <si>
    <t>Difference</t>
  </si>
  <si>
    <t>Average Difference</t>
  </si>
  <si>
    <t>Std Dev</t>
  </si>
  <si>
    <t>As the t-statistic is -8.02 and is less then the the t critical of -2.8073 at alpha .01, we will reject the null in favor of the alternative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</si>
</sst>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Incongruent Vs</a:t>
            </a:r>
            <a:r>
              <a:rPr lang="en-US" baseline="0"/>
              <a:t> Congruent Response Times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'Project 1'!$A$1</c:f>
              <c:strCache>
                <c:ptCount val="1"/>
                <c:pt idx="0">
                  <c:v>Congruent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'Project 1'!$A$2:$A$25</c:f>
              <c:numCache>
                <c:formatCode>General</c:formatCode>
                <c:ptCount val="24"/>
                <c:pt idx="0">
                  <c:v>12.079</c:v>
                </c:pt>
                <c:pt idx="1">
                  <c:v>16.791</c:v>
                </c:pt>
                <c:pt idx="2">
                  <c:v>9.564</c:v>
                </c:pt>
                <c:pt idx="3">
                  <c:v>8.630000000000001</c:v>
                </c:pt>
                <c:pt idx="4">
                  <c:v>14.669</c:v>
                </c:pt>
                <c:pt idx="5">
                  <c:v>12.238</c:v>
                </c:pt>
                <c:pt idx="6">
                  <c:v>14.692</c:v>
                </c:pt>
                <c:pt idx="7">
                  <c:v>8.987</c:v>
                </c:pt>
                <c:pt idx="8">
                  <c:v>9.401</c:v>
                </c:pt>
                <c:pt idx="9">
                  <c:v>14.48</c:v>
                </c:pt>
                <c:pt idx="10">
                  <c:v>22.328</c:v>
                </c:pt>
                <c:pt idx="11">
                  <c:v>15.298</c:v>
                </c:pt>
                <c:pt idx="12">
                  <c:v>15.073</c:v>
                </c:pt>
                <c:pt idx="13">
                  <c:v>16.929</c:v>
                </c:pt>
                <c:pt idx="14">
                  <c:v>18.2</c:v>
                </c:pt>
                <c:pt idx="15">
                  <c:v>12.13</c:v>
                </c:pt>
                <c:pt idx="16">
                  <c:v>18.495</c:v>
                </c:pt>
                <c:pt idx="17">
                  <c:v>10.639</c:v>
                </c:pt>
                <c:pt idx="18">
                  <c:v>11.344</c:v>
                </c:pt>
                <c:pt idx="19">
                  <c:v>12.369</c:v>
                </c:pt>
                <c:pt idx="20">
                  <c:v>12.944</c:v>
                </c:pt>
                <c:pt idx="21">
                  <c:v>14.233</c:v>
                </c:pt>
                <c:pt idx="22">
                  <c:v>19.71</c:v>
                </c:pt>
                <c:pt idx="23">
                  <c:v>16.004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'Project 1'!$B$1</c:f>
              <c:strCache>
                <c:ptCount val="1"/>
                <c:pt idx="0">
                  <c:v>Incongruent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'Project 1'!$B$2:$B$25</c:f>
              <c:numCache>
                <c:formatCode>General</c:formatCode>
                <c:ptCount val="24"/>
                <c:pt idx="0">
                  <c:v>19.278</c:v>
                </c:pt>
                <c:pt idx="1">
                  <c:v>18.741</c:v>
                </c:pt>
                <c:pt idx="2">
                  <c:v>21.214</c:v>
                </c:pt>
                <c:pt idx="3">
                  <c:v>15.687</c:v>
                </c:pt>
                <c:pt idx="4">
                  <c:v>22.803</c:v>
                </c:pt>
                <c:pt idx="5">
                  <c:v>20.878</c:v>
                </c:pt>
                <c:pt idx="6">
                  <c:v>24.572</c:v>
                </c:pt>
                <c:pt idx="7">
                  <c:v>17.394</c:v>
                </c:pt>
                <c:pt idx="8">
                  <c:v>20.762</c:v>
                </c:pt>
                <c:pt idx="9">
                  <c:v>26.282</c:v>
                </c:pt>
                <c:pt idx="10">
                  <c:v>24.524</c:v>
                </c:pt>
                <c:pt idx="11">
                  <c:v>18.644</c:v>
                </c:pt>
                <c:pt idx="12">
                  <c:v>17.51</c:v>
                </c:pt>
                <c:pt idx="13">
                  <c:v>20.33</c:v>
                </c:pt>
                <c:pt idx="14">
                  <c:v>35.255</c:v>
                </c:pt>
                <c:pt idx="15">
                  <c:v>22.158</c:v>
                </c:pt>
                <c:pt idx="16">
                  <c:v>25.139</c:v>
                </c:pt>
                <c:pt idx="17">
                  <c:v>20.429</c:v>
                </c:pt>
                <c:pt idx="18">
                  <c:v>17.425</c:v>
                </c:pt>
                <c:pt idx="19">
                  <c:v>34.288</c:v>
                </c:pt>
                <c:pt idx="20">
                  <c:v>23.894</c:v>
                </c:pt>
                <c:pt idx="21">
                  <c:v>17.96</c:v>
                </c:pt>
                <c:pt idx="22">
                  <c:v>22.058</c:v>
                </c:pt>
                <c:pt idx="23">
                  <c:v>21.157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98944624"/>
        <c:axId val="-1798940864"/>
      </c:scatterChart>
      <c:valAx>
        <c:axId val="-1798944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Sample</a:t>
                </a:r>
                <a:r>
                  <a:rPr lang="en-US" baseline="0"/>
                  <a:t> Number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98940864"/>
        <c:crosses val="autoZero"/>
        <c:crossBetween val="midCat"/>
      </c:valAx>
      <c:valAx>
        <c:axId val="-179894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Response</a:t>
                </a:r>
                <a:r>
                  <a:rPr lang="en-US" baseline="0"/>
                  <a:t> 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9894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Incongruent</a:t>
            </a:r>
            <a:r>
              <a:rPr lang="en-US" baseline="0"/>
              <a:t> Vs. Congruent Respinse Times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'Project 1'!$F$1</c:f>
              <c:strCache>
                <c:ptCount val="1"/>
                <c:pt idx="0">
                  <c:v>Congruent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'Project 1'!$F$2:$F$4</c:f>
              <c:strCache>
                <c:ptCount val="3"/>
                <c:pt idx="0">
                  <c:v>Mean</c:v>
                </c:pt>
                <c:pt idx="1">
                  <c:v>Median</c:v>
                </c:pt>
                <c:pt idx="2">
                  <c:v>Std. Deviation</c:v>
                </c:pt>
              </c:strCache>
            </c:strRef>
          </c:cat>
          <c:val>
            <c:numRef>
              <c:f>'Project 1'!$G$2:$G$4</c:f>
              <c:numCache>
                <c:formatCode>General</c:formatCode>
                <c:ptCount val="3"/>
                <c:pt idx="0">
                  <c:v>14.051125</c:v>
                </c:pt>
                <c:pt idx="1">
                  <c:v>14.3565</c:v>
                </c:pt>
                <c:pt idx="2">
                  <c:v>3.559357957645187</c:v>
                </c:pt>
              </c:numCache>
            </c:numRef>
          </c:val>
        </c:ser>
        <c:ser>
          <c:idx val="1"/>
          <c:order val="1"/>
          <c:tx>
            <c:strRef>
              <c:f>'Project 1'!$I$1</c:f>
              <c:strCache>
                <c:ptCount val="1"/>
                <c:pt idx="0">
                  <c:v>Incongruent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'Project 1'!$J$2:$J$4</c:f>
              <c:numCache>
                <c:formatCode>General</c:formatCode>
                <c:ptCount val="3"/>
                <c:pt idx="0">
                  <c:v>22.01591666666667</c:v>
                </c:pt>
                <c:pt idx="1">
                  <c:v>21.0175</c:v>
                </c:pt>
                <c:pt idx="2">
                  <c:v>4.797057122469136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798916384"/>
        <c:axId val="-1798913632"/>
      </c:barChart>
      <c:catAx>
        <c:axId val="-179891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98913632"/>
        <c:crosses val="autoZero"/>
        <c:auto val="1"/>
        <c:lblAlgn val="ctr"/>
        <c:lblOffset val="100"/>
        <c:noMultiLvlLbl val="0"/>
      </c:catAx>
      <c:valAx>
        <c:axId val="-179891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9891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26</xdr:row>
      <xdr:rowOff>76200</xdr:rowOff>
    </xdr:from>
    <xdr:to>
      <xdr:col>6</xdr:col>
      <xdr:colOff>254000</xdr:colOff>
      <xdr:row>39</xdr:row>
      <xdr:rowOff>177800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425450</xdr:colOff>
      <xdr:row>26</xdr:row>
      <xdr:rowOff>101600</xdr:rowOff>
    </xdr:from>
    <xdr:to>
      <xdr:col>13</xdr:col>
      <xdr:colOff>44450</xdr:colOff>
      <xdr:row>40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5"/>
  <sheetViews>
    <sheetView tabSelected="1" topLeftCell="A7" workbookViewId="0">
      <selection activeCell="F25" sqref="F25"/>
    </sheetView>
  </sheetViews>
  <sheetFormatPr baseColWidth="10" defaultRowHeight="16" x14ac:dyDescent="0.2"/>
  <cols>
    <col min="6" max="6" width="19" customWidth="1"/>
  </cols>
  <sheetData>
    <row r="1" spans="1:10" x14ac:dyDescent="0.2">
      <c r="A1" t="s">
        <v>0</v>
      </c>
      <c r="B1" t="s">
        <v>1</v>
      </c>
      <c r="C1" t="s">
        <v>23</v>
      </c>
      <c r="F1" t="s">
        <v>0</v>
      </c>
      <c r="G1" t="s">
        <v>2</v>
      </c>
      <c r="I1" t="s">
        <v>1</v>
      </c>
      <c r="J1" t="s">
        <v>2</v>
      </c>
    </row>
    <row r="2" spans="1:10" x14ac:dyDescent="0.2">
      <c r="A2">
        <v>12.079000000000001</v>
      </c>
      <c r="B2">
        <v>19.277999999999999</v>
      </c>
      <c r="C2">
        <f>A2-B2</f>
        <v>-7.1989999999999981</v>
      </c>
      <c r="F2" t="s">
        <v>3</v>
      </c>
      <c r="G2">
        <f>AVERAGE(A2:A25)</f>
        <v>14.051125000000001</v>
      </c>
      <c r="I2" t="s">
        <v>3</v>
      </c>
      <c r="J2">
        <f>AVERAGE(B2:B25)</f>
        <v>22.015916666666669</v>
      </c>
    </row>
    <row r="3" spans="1:10" x14ac:dyDescent="0.2">
      <c r="A3">
        <v>16.791</v>
      </c>
      <c r="B3">
        <v>18.741</v>
      </c>
      <c r="C3">
        <f t="shared" ref="C3:C25" si="0">A3-B3</f>
        <v>-1.9499999999999993</v>
      </c>
      <c r="F3" t="s">
        <v>4</v>
      </c>
      <c r="G3">
        <f>MEDIAN(A2:A25)</f>
        <v>14.3565</v>
      </c>
      <c r="I3" t="s">
        <v>4</v>
      </c>
      <c r="J3">
        <f>MEDIAN(B2:B25)</f>
        <v>21.017499999999998</v>
      </c>
    </row>
    <row r="4" spans="1:10" x14ac:dyDescent="0.2">
      <c r="A4">
        <v>9.5640000000000001</v>
      </c>
      <c r="B4">
        <v>21.213999999999999</v>
      </c>
      <c r="C4">
        <f t="shared" si="0"/>
        <v>-11.649999999999999</v>
      </c>
      <c r="F4" t="s">
        <v>5</v>
      </c>
      <c r="G4">
        <f>STDEV(A2:A25)</f>
        <v>3.559357957645187</v>
      </c>
      <c r="I4" t="s">
        <v>5</v>
      </c>
      <c r="J4">
        <f>STDEV(B2:B25)</f>
        <v>4.7970571224691367</v>
      </c>
    </row>
    <row r="5" spans="1:10" x14ac:dyDescent="0.2">
      <c r="A5">
        <v>8.6300000000000008</v>
      </c>
      <c r="B5">
        <v>15.686999999999999</v>
      </c>
      <c r="C5">
        <f t="shared" si="0"/>
        <v>-7.0569999999999986</v>
      </c>
    </row>
    <row r="6" spans="1:10" x14ac:dyDescent="0.2">
      <c r="A6">
        <v>14.669</v>
      </c>
      <c r="B6">
        <v>22.803000000000001</v>
      </c>
      <c r="C6">
        <f t="shared" si="0"/>
        <v>-8.1340000000000003</v>
      </c>
    </row>
    <row r="7" spans="1:10" x14ac:dyDescent="0.2">
      <c r="A7">
        <v>12.238</v>
      </c>
      <c r="B7">
        <v>20.878</v>
      </c>
      <c r="C7">
        <f t="shared" si="0"/>
        <v>-8.64</v>
      </c>
      <c r="F7" t="s">
        <v>6</v>
      </c>
      <c r="G7" t="s">
        <v>7</v>
      </c>
    </row>
    <row r="8" spans="1:10" x14ac:dyDescent="0.2">
      <c r="A8">
        <v>14.692</v>
      </c>
      <c r="B8">
        <v>24.571999999999999</v>
      </c>
      <c r="C8">
        <f t="shared" si="0"/>
        <v>-9.879999999999999</v>
      </c>
      <c r="F8" t="s">
        <v>8</v>
      </c>
      <c r="G8" t="s">
        <v>18</v>
      </c>
    </row>
    <row r="9" spans="1:10" x14ac:dyDescent="0.2">
      <c r="A9">
        <v>8.9870000000000001</v>
      </c>
      <c r="B9">
        <v>17.393999999999998</v>
      </c>
      <c r="C9">
        <f t="shared" si="0"/>
        <v>-8.4069999999999983</v>
      </c>
      <c r="F9" t="s">
        <v>9</v>
      </c>
      <c r="G9" t="s">
        <v>19</v>
      </c>
    </row>
    <row r="10" spans="1:10" x14ac:dyDescent="0.2">
      <c r="A10">
        <v>9.4009999999999998</v>
      </c>
      <c r="B10">
        <v>20.762</v>
      </c>
      <c r="C10">
        <f t="shared" si="0"/>
        <v>-11.361000000000001</v>
      </c>
    </row>
    <row r="11" spans="1:10" x14ac:dyDescent="0.2">
      <c r="A11">
        <v>14.48</v>
      </c>
      <c r="B11">
        <v>26.282</v>
      </c>
      <c r="C11">
        <f t="shared" si="0"/>
        <v>-11.802</v>
      </c>
      <c r="F11" t="s">
        <v>24</v>
      </c>
      <c r="G11">
        <f>AVERAGE(C2:C25)</f>
        <v>-7.964791666666664</v>
      </c>
    </row>
    <row r="12" spans="1:10" x14ac:dyDescent="0.2">
      <c r="A12">
        <v>22.327999999999999</v>
      </c>
      <c r="B12">
        <v>24.524000000000001</v>
      </c>
      <c r="C12">
        <f t="shared" si="0"/>
        <v>-2.1960000000000015</v>
      </c>
      <c r="F12" t="s">
        <v>10</v>
      </c>
      <c r="G12">
        <v>24</v>
      </c>
    </row>
    <row r="13" spans="1:10" x14ac:dyDescent="0.2">
      <c r="A13">
        <v>15.298</v>
      </c>
      <c r="B13">
        <v>18.643999999999998</v>
      </c>
      <c r="C13">
        <f t="shared" si="0"/>
        <v>-3.3459999999999983</v>
      </c>
      <c r="F13" t="s">
        <v>11</v>
      </c>
      <c r="G13">
        <f>G12-1</f>
        <v>23</v>
      </c>
    </row>
    <row r="14" spans="1:10" x14ac:dyDescent="0.2">
      <c r="A14">
        <v>15.073</v>
      </c>
      <c r="B14">
        <v>17.510000000000002</v>
      </c>
      <c r="C14">
        <f t="shared" si="0"/>
        <v>-2.4370000000000012</v>
      </c>
      <c r="F14" t="s">
        <v>25</v>
      </c>
      <c r="G14">
        <f>STDEV(C2:C25)</f>
        <v>4.8648269103590565</v>
      </c>
    </row>
    <row r="15" spans="1:10" x14ac:dyDescent="0.2">
      <c r="A15">
        <v>16.928999999999998</v>
      </c>
      <c r="B15">
        <v>20.329999999999998</v>
      </c>
      <c r="C15">
        <f t="shared" si="0"/>
        <v>-3.4009999999999998</v>
      </c>
      <c r="F15" t="s">
        <v>12</v>
      </c>
      <c r="G15">
        <f>G14/SQRT(G12)</f>
        <v>0.9930286347783408</v>
      </c>
    </row>
    <row r="16" spans="1:10" x14ac:dyDescent="0.2">
      <c r="A16">
        <v>18.2</v>
      </c>
      <c r="B16">
        <v>35.255000000000003</v>
      </c>
      <c r="C16">
        <f t="shared" si="0"/>
        <v>-17.055000000000003</v>
      </c>
      <c r="F16" t="s">
        <v>13</v>
      </c>
      <c r="G16">
        <f>G11/G15</f>
        <v>-8.0207069441099534</v>
      </c>
    </row>
    <row r="17" spans="1:7" x14ac:dyDescent="0.2">
      <c r="A17">
        <v>12.13</v>
      </c>
      <c r="B17">
        <v>22.158000000000001</v>
      </c>
      <c r="C17">
        <f t="shared" si="0"/>
        <v>-10.028</v>
      </c>
      <c r="F17" t="s">
        <v>14</v>
      </c>
      <c r="G17" t="s">
        <v>20</v>
      </c>
    </row>
    <row r="18" spans="1:7" x14ac:dyDescent="0.2">
      <c r="A18">
        <v>18.495000000000001</v>
      </c>
      <c r="B18">
        <v>25.138999999999999</v>
      </c>
      <c r="C18">
        <f t="shared" si="0"/>
        <v>-6.6439999999999984</v>
      </c>
      <c r="F18" t="s">
        <v>15</v>
      </c>
      <c r="G18" t="s">
        <v>21</v>
      </c>
    </row>
    <row r="19" spans="1:7" x14ac:dyDescent="0.2">
      <c r="A19">
        <v>10.638999999999999</v>
      </c>
      <c r="B19">
        <v>20.428999999999998</v>
      </c>
      <c r="C19">
        <f t="shared" si="0"/>
        <v>-9.7899999999999991</v>
      </c>
      <c r="F19" t="s">
        <v>16</v>
      </c>
      <c r="G19" t="s">
        <v>22</v>
      </c>
    </row>
    <row r="20" spans="1:7" x14ac:dyDescent="0.2">
      <c r="A20">
        <v>11.343999999999999</v>
      </c>
      <c r="B20">
        <v>17.425000000000001</v>
      </c>
      <c r="C20">
        <f t="shared" si="0"/>
        <v>-6.0810000000000013</v>
      </c>
    </row>
    <row r="21" spans="1:7" x14ac:dyDescent="0.2">
      <c r="A21">
        <v>12.369</v>
      </c>
      <c r="B21">
        <v>34.287999999999997</v>
      </c>
      <c r="C21">
        <f t="shared" si="0"/>
        <v>-21.918999999999997</v>
      </c>
      <c r="F21" t="s">
        <v>26</v>
      </c>
    </row>
    <row r="22" spans="1:7" x14ac:dyDescent="0.2">
      <c r="A22">
        <v>12.944000000000001</v>
      </c>
      <c r="B22">
        <v>23.893999999999998</v>
      </c>
      <c r="C22">
        <f t="shared" si="0"/>
        <v>-10.949999999999998</v>
      </c>
      <c r="F22" t="s">
        <v>17</v>
      </c>
    </row>
    <row r="23" spans="1:7" x14ac:dyDescent="0.2">
      <c r="A23">
        <v>14.233000000000001</v>
      </c>
      <c r="B23">
        <v>17.96</v>
      </c>
      <c r="C23">
        <f t="shared" si="0"/>
        <v>-3.7270000000000003</v>
      </c>
    </row>
    <row r="24" spans="1:7" x14ac:dyDescent="0.2">
      <c r="A24">
        <v>19.71</v>
      </c>
      <c r="B24">
        <v>22.058</v>
      </c>
      <c r="C24">
        <f t="shared" si="0"/>
        <v>-2.347999999999999</v>
      </c>
    </row>
    <row r="25" spans="1:7" x14ac:dyDescent="0.2">
      <c r="A25">
        <v>16.004000000000001</v>
      </c>
      <c r="B25">
        <v>21.157</v>
      </c>
      <c r="C25">
        <f t="shared" si="0"/>
        <v>-5.1529999999999987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Project 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2017-03-10T19:29:01Z</dcterms:created>
  <dcterms:modified xsi:type="dcterms:W3CDTF">2017-03-13T17:19:17Z</dcterms:modified>
</cp:coreProperties>
</file>